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нель" sheetId="1" state="visible" r:id="rId1"/>
    <sheet xmlns:r="http://schemas.openxmlformats.org/officeDocument/2006/relationships" name="Помесячный бюджет" sheetId="2" state="visible" r:id="rId2"/>
    <sheet xmlns:r="http://schemas.openxmlformats.org/officeDocument/2006/relationships" name="Детальный план" sheetId="3" state="visible" r:id="rId3"/>
    <sheet xmlns:r="http://schemas.openxmlformats.org/officeDocument/2006/relationships" name="KPI и рубежи" sheetId="4" state="visible" r:id="rId4"/>
    <sheet xmlns:r="http://schemas.openxmlformats.org/officeDocument/2006/relationships" name="Аудит исходника" sheetId="5" state="visible" r:id="rId5"/>
    <sheet xmlns:r="http://schemas.openxmlformats.org/officeDocument/2006/relationships" name="Контент-план" sheetId="6" state="visible" r:id="rId6"/>
    <sheet xmlns:r="http://schemas.openxmlformats.org/officeDocument/2006/relationships" name="Допущения" sheetId="7" state="visible" r:id="rId7"/>
  </sheets>
  <definedNames>
    <definedName name="_xlnm._FilterDatabase" localSheetId="2" hidden="1">'Детальный план'!$A$4:$J$44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 &quot;₸&quot;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  <font>
      <b val="1"/>
      <color rgb="00123047"/>
      <sz val="12"/>
    </font>
  </fonts>
  <fills count="5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0F766E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D7DE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  <xf numFmtId="0" fontId="0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164" fontId="3" fillId="0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Постепенное увеличение общего бюджета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'Помесячный бюджет'!F4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'Помесячный бюджет'!$A$5:$A$8</f>
            </numRef>
          </cat>
          <val>
            <numRef>
              <f>'Помесячный бюджет'!$F$5:$F$8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тенге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Hermes</author>
  </authors>
  <commentList>
    <comment ref="G4" authorId="0" shapeId="0">
      <text>
        <t>Вносится ответственным после закрытия месяца.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onthlyBudget" displayName="MonthlyBudget" ref="A4:H9" headerRowCount="1">
  <autoFilter ref="A4:H9"/>
  <tableColumns count="8">
    <tableColumn id="1" name="Месяц"/>
    <tableColumn id="2" name="Операционный маркетинг"/>
    <tableColumn id="3" name="Инфраструктура"/>
    <tableColumn id="4" name="Разовое оборудование"/>
    <tableColumn id="5" name="Рост операционного бюджета"/>
    <tableColumn id="6" name="Общий предел"/>
    <tableColumn id="7" name="Факт"/>
    <tableColumn id="8" name="Отклонение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tailedBudget" displayName="DetailedBudget" ref="A4:J44" headerRowCount="1">
  <autoFilter ref="A4:J44"/>
  <tableColumns count="10">
    <tableColumn id="1" name="Месяц"/>
    <tableColumn id="2" name="Статья"/>
    <tableColumn id="3" name="План"/>
    <tableColumn id="4" name="Факт"/>
    <tableColumn id="5" name="Отклонение"/>
    <tableColumn id="6" name="Ответственный"/>
    <tableColumn id="7" name="Ожидаемый результат"/>
    <tableColumn id="8" name="Условие запуска/масштабирования"/>
    <tableColumn id="9" name="Статус"/>
    <tableColumn id="10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KPIGates" displayName="KPIGates" ref="A4:K8" headerRowCount="1">
  <autoFilter ref="A4:K8"/>
  <tableColumns count="11">
    <tableColumn id="1" name="Месяц"/>
    <tableColumn id="2" name="Все обращения"/>
    <tableColumn id="3" name="Маркетингово квалифицированные"/>
    <tableColumn id="4" name="Коммерческие возможности"/>
    <tableColumn id="5" name="Новая воронка, тонн"/>
    <tableColumn id="6" name="Стоимость возможности"/>
    <tableColumn id="7" name="Стоимость тонны воронки"/>
    <tableColumn id="8" name="Заполнение Битрикс24"/>
    <tableColumn id="9" name="Срок реакции"/>
    <tableColumn id="10" name="Условие перехода"/>
    <tableColumn id="11" name="Решени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ourceAudit" displayName="SourceAudit" ref="A4:F14" headerRowCount="1">
  <autoFilter ref="A4:F14"/>
  <tableColumns count="6">
    <tableColumn id="1" name="№"/>
    <tableColumn id="2" name="Наблюдение"/>
    <tableColumn id="3" name="Риск"/>
    <tableColumn id="4" name="Рекомендация"/>
    <tableColumn id="5" name="Приоритет"/>
    <tableColumn id="6" name="Стату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ntentPlan" displayName="ContentPlan" ref="A4:H16" headerRowCount="1">
  <autoFilter ref="A4:H16"/>
  <tableColumns count="8">
    <tableColumn id="1" name="Месяц"/>
    <tableColumn id="2" name="Материал"/>
    <tableColumn id="3" name="Формат"/>
    <tableColumn id="4" name="Целевой сегмент"/>
    <tableColumn id="5" name="Ответственный"/>
    <tableColumn id="6" name="Призыв к действию"/>
    <tableColumn id="7" name="Показатель"/>
    <tableColumn id="8" name="Статус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ssumptions" displayName="Assumptions" ref="A4:D14" headerRowCount="1">
  <autoFilter ref="A4:D14"/>
  <tableColumns count="4">
    <tableColumn id="1" name="Параметр"/>
    <tableColumn id="2" name="Принято в модели"/>
    <tableColumn id="3" name="Что требуется уточнить"/>
    <tableColumn id="4" name="Влия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Маркетинговый бюджет Star Building · сентябрь–декабрь 2026</t>
        </is>
      </c>
    </row>
    <row r="3">
      <c r="A3" s="2" t="inlineStr">
        <is>
          <t>Показатель</t>
        </is>
      </c>
      <c r="B3" s="2" t="inlineStr">
        <is>
          <t>План</t>
        </is>
      </c>
      <c r="C3" s="2" t="n"/>
      <c r="D3" s="2" t="n"/>
      <c r="E3" s="2" t="n"/>
      <c r="F3" s="2" t="n"/>
      <c r="G3" s="2" t="n"/>
      <c r="H3" s="2" t="n"/>
    </row>
    <row r="4">
      <c r="A4" t="inlineStr">
        <is>
          <t>Операционный маркетинг</t>
        </is>
      </c>
      <c r="B4" s="3">
        <f>SUM('Помесячный бюджет'!B5:B8)</f>
        <v/>
      </c>
    </row>
    <row r="5">
      <c r="A5" t="inlineStr">
        <is>
          <t>Обязательная инфраструктура</t>
        </is>
      </c>
      <c r="B5" s="3">
        <f>SUM('Помесячный бюджет'!C5:C8)</f>
        <v/>
      </c>
    </row>
    <row r="6">
      <c r="A6" t="inlineStr">
        <is>
          <t>Разовое оборудование</t>
        </is>
      </c>
      <c r="B6" s="3">
        <f>SUM('Помесячный бюджет'!D5:D8)</f>
        <v/>
      </c>
    </row>
    <row r="7">
      <c r="A7" t="inlineStr">
        <is>
          <t>Общий предел</t>
        </is>
      </c>
      <c r="B7" s="3">
        <f>SUM('Помесячный бюджет'!F5:F8)</f>
        <v/>
      </c>
    </row>
    <row r="8">
      <c r="A8" t="inlineStr">
        <is>
          <t>Коммерческие возможности</t>
        </is>
      </c>
      <c r="B8">
        <f>SUM('KPI и рубежи'!D5:D8)</f>
        <v/>
      </c>
    </row>
    <row r="9">
      <c r="A9" t="inlineStr">
        <is>
          <t>Новая квалифицированная воронка, тонн</t>
        </is>
      </c>
      <c r="B9">
        <f>SUM('KPI и рубежи'!E5:E8)</f>
        <v/>
      </c>
    </row>
    <row r="11">
      <c r="A11" s="4" t="inlineStr">
        <is>
          <t>Принцип финансирования</t>
        </is>
      </c>
    </row>
    <row r="12" ht="42" customHeight="1">
      <c r="A12" s="5" t="inlineStr">
        <is>
          <t>450 → 650 → 850 → 1 050 тыс. ₸. Следующая ступень открывается только после проверки Битрикс24, качества возможностей и производственных ограничений.</t>
        </is>
      </c>
    </row>
    <row r="14">
      <c r="A14" s="4" t="inlineStr">
        <is>
          <t>Ключевые ограничения</t>
        </is>
      </c>
    </row>
    <row r="15">
      <c r="A15" s="6" t="inlineStr">
        <is>
          <t>• Лид считается квалифицированным только при наличии компании, объекта, региона, тоннажа, стадии, ЛПР и следующего шага.</t>
        </is>
      </c>
    </row>
    <row r="16">
      <c r="A16" s="6" t="inlineStr">
        <is>
          <t>• После 100 000 ₸ расхода без квалифицированной возможности кампания останавливается.</t>
        </is>
      </c>
    </row>
    <row r="17">
      <c r="A17" s="6" t="inlineStr">
        <is>
          <t>• Отраслевые СМИ запускаются только с отдельной посадочной страницей и измеряемой воронкой.</t>
        </is>
      </c>
    </row>
    <row r="18">
      <c r="A18" s="6" t="inlineStr">
        <is>
          <t>• Маркетинг не обещает срок и объём без подтверждённого производственного слота.</t>
        </is>
      </c>
    </row>
  </sheetData>
  <mergeCells count="6">
    <mergeCell ref="A12:H12"/>
    <mergeCell ref="A18:H18"/>
    <mergeCell ref="A15:H15"/>
    <mergeCell ref="A16:H16"/>
    <mergeCell ref="A1:H1"/>
    <mergeCell ref="A17:H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9" customWidth="1" min="3" max="3"/>
    <col width="21" customWidth="1" min="4" max="4"/>
    <col width="20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Помесячный предел бюджета</t>
        </is>
      </c>
    </row>
    <row r="4">
      <c r="A4" s="2" t="inlineStr">
        <is>
          <t>Месяц</t>
        </is>
      </c>
      <c r="B4" s="2" t="inlineStr">
        <is>
          <t>Операционный маркетинг</t>
        </is>
      </c>
      <c r="C4" s="2" t="inlineStr">
        <is>
          <t>Инфраструктура</t>
        </is>
      </c>
      <c r="D4" s="2" t="inlineStr">
        <is>
          <t>Разовое оборудование</t>
        </is>
      </c>
      <c r="E4" s="2" t="inlineStr">
        <is>
          <t>Рост операционного бюджета</t>
        </is>
      </c>
      <c r="F4" s="2" t="inlineStr">
        <is>
          <t>Общий предел</t>
        </is>
      </c>
      <c r="G4" s="2" t="inlineStr">
        <is>
          <t>Факт</t>
        </is>
      </c>
      <c r="H4" s="2" t="inlineStr">
        <is>
          <t>Отклонение</t>
        </is>
      </c>
    </row>
    <row r="5">
      <c r="A5" s="7" t="inlineStr">
        <is>
          <t>Сентябрь</t>
        </is>
      </c>
      <c r="B5" s="8" t="n">
        <v>450000</v>
      </c>
      <c r="C5" s="8" t="n">
        <v>16680</v>
      </c>
      <c r="D5" s="8" t="n">
        <v>180000</v>
      </c>
      <c r="E5" s="7" t="inlineStr">
        <is>
          <t>—</t>
        </is>
      </c>
      <c r="F5" s="8">
        <f>SUM(B5:D5)</f>
        <v/>
      </c>
      <c r="G5" s="8" t="n"/>
      <c r="H5" s="8">
        <f>IF(G5="","",G5-F5)</f>
        <v/>
      </c>
    </row>
    <row r="6">
      <c r="A6" s="7" t="inlineStr">
        <is>
          <t>Октябрь</t>
        </is>
      </c>
      <c r="B6" s="8" t="n">
        <v>650000</v>
      </c>
      <c r="C6" s="8" t="n">
        <v>18380</v>
      </c>
      <c r="D6" s="8" t="n">
        <v>0</v>
      </c>
      <c r="E6" s="9">
        <f>B6/B5-1</f>
        <v/>
      </c>
      <c r="F6" s="8">
        <f>SUM(B6:D6)</f>
        <v/>
      </c>
      <c r="G6" s="8" t="n"/>
      <c r="H6" s="8">
        <f>IF(G6="","",G6-F6)</f>
        <v/>
      </c>
    </row>
    <row r="7">
      <c r="A7" s="7" t="inlineStr">
        <is>
          <t>Ноябрь</t>
        </is>
      </c>
      <c r="B7" s="8" t="n">
        <v>850000</v>
      </c>
      <c r="C7" s="8" t="n">
        <v>7100</v>
      </c>
      <c r="D7" s="8" t="n">
        <v>0</v>
      </c>
      <c r="E7" s="9">
        <f>B7/B6-1</f>
        <v/>
      </c>
      <c r="F7" s="8">
        <f>SUM(B7:D7)</f>
        <v/>
      </c>
      <c r="G7" s="8" t="n"/>
      <c r="H7" s="8">
        <f>IF(G7="","",G7-F7)</f>
        <v/>
      </c>
    </row>
    <row r="8">
      <c r="A8" s="7" t="inlineStr">
        <is>
          <t>Декабрь</t>
        </is>
      </c>
      <c r="B8" s="8" t="n">
        <v>1050000</v>
      </c>
      <c r="C8" s="8" t="n">
        <v>7100</v>
      </c>
      <c r="D8" s="8" t="n">
        <v>0</v>
      </c>
      <c r="E8" s="9">
        <f>B8/B7-1</f>
        <v/>
      </c>
      <c r="F8" s="8">
        <f>SUM(B8:D8)</f>
        <v/>
      </c>
      <c r="G8" s="8" t="n"/>
      <c r="H8" s="8">
        <f>IF(G8="","",G8-F8)</f>
        <v/>
      </c>
    </row>
    <row r="9">
      <c r="A9" s="10" t="inlineStr">
        <is>
          <t>Итого</t>
        </is>
      </c>
      <c r="B9" s="11">
        <f>SUM(B5:B8)</f>
        <v/>
      </c>
      <c r="C9" s="11">
        <f>SUM(C5:C8)</f>
        <v/>
      </c>
      <c r="D9" s="11">
        <f>SUM(D5:D8)</f>
        <v/>
      </c>
      <c r="E9" s="10" t="inlineStr"/>
      <c r="F9" s="11">
        <f>SUM(F5:F8)</f>
        <v/>
      </c>
      <c r="G9" s="11">
        <f>SUM(G5:G8)</f>
        <v/>
      </c>
      <c r="H9" s="11">
        <f>IF(G9=0,"",G9-F9)</f>
        <v/>
      </c>
    </row>
  </sheetData>
  <mergeCells count="1">
    <mergeCell ref="A1:H1"/>
  </mergeCells>
  <conditionalFormatting sqref="H5:H9">
    <cfRule type="cellIs" priority="1" operator="greaterThan" dxfId="0">
      <formula>0</formula>
    </cfRule>
    <cfRule type="cellIs" priority="2" operator="lessThanOrEqual" dxfId="1">
      <formula>0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5" customWidth="1" min="3" max="3"/>
    <col width="15" customWidth="1" min="4" max="4"/>
    <col width="15" customWidth="1" min="5" max="5"/>
    <col width="22" customWidth="1" min="6" max="6"/>
    <col width="35" customWidth="1" min="7" max="7"/>
    <col width="42" customWidth="1" min="8" max="8"/>
    <col width="17" customWidth="1" min="9" max="9"/>
    <col width="30" customWidth="1" min="10" max="10"/>
  </cols>
  <sheetData>
    <row r="1" ht="28" customHeight="1">
      <c r="A1" s="1" t="inlineStr">
        <is>
          <t>Детальный план расходов и план/факт</t>
        </is>
      </c>
    </row>
    <row r="4">
      <c r="A4" s="2" t="inlineStr">
        <is>
          <t>Месяц</t>
        </is>
      </c>
      <c r="B4" s="2" t="inlineStr">
        <is>
          <t>Статья</t>
        </is>
      </c>
      <c r="C4" s="2" t="inlineStr">
        <is>
          <t>План</t>
        </is>
      </c>
      <c r="D4" s="2" t="inlineStr">
        <is>
          <t>Факт</t>
        </is>
      </c>
      <c r="E4" s="2" t="inlineStr">
        <is>
          <t>Отклонение</t>
        </is>
      </c>
      <c r="F4" s="2" t="inlineStr">
        <is>
          <t>Ответственный</t>
        </is>
      </c>
      <c r="G4" s="2" t="inlineStr">
        <is>
          <t>Ожидаемый результат</t>
        </is>
      </c>
      <c r="H4" s="2" t="inlineStr">
        <is>
          <t>Условие запуска/масштабирования</t>
        </is>
      </c>
      <c r="I4" s="2" t="inlineStr">
        <is>
          <t>Статус</t>
        </is>
      </c>
      <c r="J4" s="2" t="inlineStr">
        <is>
          <t>Комментарий</t>
        </is>
      </c>
    </row>
    <row r="5">
      <c r="A5" s="7" t="inlineStr">
        <is>
          <t>Сентябрь</t>
        </is>
      </c>
      <c r="B5" s="7" t="inlineStr">
        <is>
          <t>Поисковая реклама</t>
        </is>
      </c>
      <c r="C5" s="8" t="n">
        <v>150000</v>
      </c>
      <c r="D5" s="8" t="n"/>
      <c r="E5" s="8">
        <f>IF(D5="","",D5-C5)</f>
        <v/>
      </c>
      <c r="F5" s="7" t="inlineStr">
        <is>
          <t>Таргетолог + РОП</t>
        </is>
      </c>
      <c r="G5" s="7" t="inlineStr">
        <is>
          <t>Квалифицированные проектные обращения</t>
        </is>
      </c>
      <c r="H5" s="7" t="inlineStr">
        <is>
          <t>≥1 квалифицированная возможность на 100 000 ₸</t>
        </is>
      </c>
      <c r="I5" s="7" t="inlineStr">
        <is>
          <t>Запланировано</t>
        </is>
      </c>
      <c r="J5" s="7" t="inlineStr"/>
    </row>
    <row r="6">
      <c r="A6" s="7" t="inlineStr">
        <is>
          <t>Сентябрь</t>
        </is>
      </c>
      <c r="B6" s="7" t="inlineStr">
        <is>
          <t>Повторный показ и медийные тесты</t>
        </is>
      </c>
      <c r="C6" s="8" t="n">
        <v>20000</v>
      </c>
      <c r="D6" s="8" t="n"/>
      <c r="E6" s="8">
        <f>IF(D6="","",D6-C6)</f>
        <v/>
      </c>
      <c r="F6" s="7" t="inlineStr">
        <is>
          <t>Таргетолог</t>
        </is>
      </c>
      <c r="G6" s="7" t="inlineStr">
        <is>
          <t>Возврат посетителей отраслевых страниц</t>
        </is>
      </c>
      <c r="H6" s="7" t="inlineStr">
        <is>
          <t>Есть аудитория ≥300 посетителей</t>
        </is>
      </c>
      <c r="I6" s="7" t="inlineStr">
        <is>
          <t>Запланировано</t>
        </is>
      </c>
      <c r="J6" s="7" t="inlineStr"/>
    </row>
    <row r="7">
      <c r="A7" s="7" t="inlineStr">
        <is>
          <t>Сентябрь</t>
        </is>
      </c>
      <c r="B7" s="7" t="inlineStr">
        <is>
          <t>SEO и качественные внешние ссылки</t>
        </is>
      </c>
      <c r="C7" s="8" t="n">
        <v>37000</v>
      </c>
      <c r="D7" s="8" t="n"/>
      <c r="E7" s="8">
        <f>IF(D7="","",D7-C7)</f>
        <v/>
      </c>
      <c r="F7" s="7" t="inlineStr">
        <is>
          <t>SEO + веб-дизайнер</t>
        </is>
      </c>
      <c r="G7" s="7" t="inlineStr">
        <is>
          <t>Рост видимости и доверия доменов</t>
        </is>
      </c>
      <c r="H7" s="7" t="inlineStr">
        <is>
          <t>Аудит домена и перечень проверенных площадок</t>
        </is>
      </c>
      <c r="I7" s="7" t="inlineStr">
        <is>
          <t>Запланировано</t>
        </is>
      </c>
      <c r="J7" s="7" t="inlineStr"/>
    </row>
    <row r="8">
      <c r="A8" s="7" t="inlineStr">
        <is>
          <t>Сентябрь</t>
        </is>
      </c>
      <c r="B8" s="7" t="inlineStr">
        <is>
          <t>Экспертный контент и кейсы</t>
        </is>
      </c>
      <c r="C8" s="8" t="n">
        <v>45000</v>
      </c>
      <c r="D8" s="8" t="n"/>
      <c r="E8" s="8">
        <f>IF(D8="","",D8-C8)</f>
        <v/>
      </c>
      <c r="F8" s="7" t="inlineStr">
        <is>
          <t>Маркетинг + технический эксперт</t>
        </is>
      </c>
      <c r="G8" s="7" t="inlineStr">
        <is>
          <t>Кейсы, статьи и лид-магниты</t>
        </is>
      </c>
      <c r="H8" s="7" t="inlineStr">
        <is>
          <t>Фактология проверена техническим экспертом</t>
        </is>
      </c>
      <c r="I8" s="7" t="inlineStr">
        <is>
          <t>Запланировано</t>
        </is>
      </c>
      <c r="J8" s="7" t="inlineStr"/>
    </row>
    <row r="9">
      <c r="A9" s="7" t="inlineStr">
        <is>
          <t>Сентябрь</t>
        </is>
      </c>
      <c r="B9" s="7" t="inlineStr">
        <is>
          <t>Видео и творческие материалы</t>
        </is>
      </c>
      <c r="C9" s="8" t="n">
        <v>30000</v>
      </c>
      <c r="D9" s="8" t="n"/>
      <c r="E9" s="8">
        <f>IF(D9="","",D9-C9)</f>
        <v/>
      </c>
      <c r="F9" s="7" t="inlineStr">
        <is>
          <t>Мобилограф</t>
        </is>
      </c>
      <c r="G9" s="7" t="inlineStr">
        <is>
          <t>Доказательный видеоконтент</t>
        </is>
      </c>
      <c r="H9" s="7" t="inlineStr">
        <is>
          <t>Сценарий и объект согласованы</t>
        </is>
      </c>
      <c r="I9" s="7" t="inlineStr">
        <is>
          <t>Запланировано</t>
        </is>
      </c>
      <c r="J9" s="7" t="inlineStr"/>
    </row>
    <row r="10">
      <c r="A10" s="7" t="inlineStr">
        <is>
          <t>Сентябрь</t>
        </is>
      </c>
      <c r="B10" s="7" t="inlineStr">
        <is>
          <t>ABM, партнёры и экскурсии</t>
        </is>
      </c>
      <c r="C10" s="8" t="n">
        <v>50000</v>
      </c>
      <c r="D10" s="8" t="n"/>
      <c r="E10" s="8">
        <f>IF(D10="","",D10-C10)</f>
        <v/>
      </c>
      <c r="F10" s="7" t="inlineStr">
        <is>
          <t>Коммерческий директор + РОП</t>
        </is>
      </c>
      <c r="G10" s="7" t="inlineStr">
        <is>
          <t>Целевые встречи, партнёры и объекты</t>
        </is>
      </c>
      <c r="H10" s="7" t="inlineStr">
        <is>
          <t>Список целевых компаний и следующий шаг</t>
        </is>
      </c>
      <c r="I10" s="7" t="inlineStr">
        <is>
          <t>Запланировано</t>
        </is>
      </c>
      <c r="J10" s="7" t="inlineStr"/>
    </row>
    <row r="11">
      <c r="A11" s="7" t="inlineStr">
        <is>
          <t>Сентябрь</t>
        </is>
      </c>
      <c r="B11" s="7" t="inlineStr">
        <is>
          <t>Аналитика и посадочные страницы</t>
        </is>
      </c>
      <c r="C11" s="8" t="n">
        <v>70000</v>
      </c>
      <c r="D11" s="8" t="n"/>
      <c r="E11" s="8">
        <f>IF(D11="","",D11-C11)</f>
        <v/>
      </c>
      <c r="F11" s="7" t="inlineStr">
        <is>
          <t>Веб-дизайнер + аналитик</t>
        </is>
      </c>
      <c r="G11" s="7" t="inlineStr">
        <is>
          <t>Корректная атрибуция и конверсия страниц</t>
        </is>
      </c>
      <c r="H11" s="7" t="inlineStr">
        <is>
          <t>События и UTM перед запуском рекламы</t>
        </is>
      </c>
      <c r="I11" s="7" t="inlineStr">
        <is>
          <t>Запланировано</t>
        </is>
      </c>
      <c r="J11" s="7" t="inlineStr"/>
    </row>
    <row r="12">
      <c r="A12" s="7" t="inlineStr">
        <is>
          <t>Сентябрь</t>
        </is>
      </c>
      <c r="B12" s="7" t="inlineStr">
        <is>
          <t>ИИ и программные сервисы</t>
        </is>
      </c>
      <c r="C12" s="8" t="n">
        <v>25000</v>
      </c>
      <c r="D12" s="8" t="n"/>
      <c r="E12" s="8">
        <f>IF(D12="","",D12-C12)</f>
        <v/>
      </c>
      <c r="F12" s="7" t="inlineStr">
        <is>
          <t>Маркетинг</t>
        </is>
      </c>
      <c r="G12" s="7" t="inlineStr">
        <is>
          <t>Ускорение производства материалов</t>
        </is>
      </c>
      <c r="H12" s="7" t="inlineStr">
        <is>
          <t>Человеческая проверка каждого материала</t>
        </is>
      </c>
      <c r="I12" s="7" t="inlineStr">
        <is>
          <t>Запланировано</t>
        </is>
      </c>
      <c r="J12" s="7" t="inlineStr"/>
    </row>
    <row r="13">
      <c r="A13" s="7" t="inlineStr">
        <is>
          <t>Сентябрь</t>
        </is>
      </c>
      <c r="B13" s="7" t="inlineStr">
        <is>
          <t>Отраслевые СМИ</t>
        </is>
      </c>
      <c r="C13" s="8" t="n">
        <v>0</v>
      </c>
      <c r="D13" s="8" t="n"/>
      <c r="E13" s="8">
        <f>IF(D13="","",D13-C13)</f>
        <v/>
      </c>
      <c r="F13" s="7" t="inlineStr">
        <is>
          <t>Коммерческий директор</t>
        </is>
      </c>
      <c r="G13" s="7" t="inlineStr">
        <is>
          <t>Проверяемый доступ к отраслевым ЛПР</t>
        </is>
      </c>
      <c r="H13" s="7" t="inlineStr">
        <is>
          <t>Посадочная страница, UTM и отслеживаемый номер</t>
        </is>
      </c>
      <c r="I13" s="7" t="inlineStr">
        <is>
          <t>Запланировано</t>
        </is>
      </c>
      <c r="J13" s="7" t="inlineStr"/>
    </row>
    <row r="14">
      <c r="A14" s="7" t="inlineStr">
        <is>
          <t>Сентябрь</t>
        </is>
      </c>
      <c r="B14" s="7" t="inlineStr">
        <is>
          <t>Резерв и эксперименты</t>
        </is>
      </c>
      <c r="C14" s="8" t="n">
        <v>23000</v>
      </c>
      <c r="D14" s="8" t="n"/>
      <c r="E14" s="8">
        <f>IF(D14="","",D14-C14)</f>
        <v/>
      </c>
      <c r="F14" s="7" t="inlineStr">
        <is>
          <t>Коммерческий директор</t>
        </is>
      </c>
      <c r="G14" s="7" t="inlineStr">
        <is>
          <t>Проверка новых гипотез</t>
        </is>
      </c>
      <c r="H14" s="7" t="inlineStr">
        <is>
          <t>Письменная гипотеза и критерий остановки</t>
        </is>
      </c>
      <c r="I14" s="7" t="inlineStr">
        <is>
          <t>Запланировано</t>
        </is>
      </c>
      <c r="J14" s="7" t="inlineStr"/>
    </row>
    <row r="15">
      <c r="A15" s="7" t="inlineStr">
        <is>
          <t>Октябрь</t>
        </is>
      </c>
      <c r="B15" s="7" t="inlineStr">
        <is>
          <t>Поисковая реклама</t>
        </is>
      </c>
      <c r="C15" s="8" t="n">
        <v>230000</v>
      </c>
      <c r="D15" s="8" t="n"/>
      <c r="E15" s="8">
        <f>IF(D15="","",D15-C15)</f>
        <v/>
      </c>
      <c r="F15" s="7" t="inlineStr">
        <is>
          <t>Таргетолог + РОП</t>
        </is>
      </c>
      <c r="G15" s="7" t="inlineStr">
        <is>
          <t>Квалифицированные проектные обращения</t>
        </is>
      </c>
      <c r="H15" s="7" t="inlineStr">
        <is>
          <t>≥1 квалифицированная возможность на 100 000 ₸</t>
        </is>
      </c>
      <c r="I15" s="7" t="inlineStr">
        <is>
          <t>Запланировано</t>
        </is>
      </c>
      <c r="J15" s="7" t="inlineStr"/>
    </row>
    <row r="16">
      <c r="A16" s="7" t="inlineStr">
        <is>
          <t>Октябрь</t>
        </is>
      </c>
      <c r="B16" s="7" t="inlineStr">
        <is>
          <t>Повторный показ и медийные тесты</t>
        </is>
      </c>
      <c r="C16" s="8" t="n">
        <v>40000</v>
      </c>
      <c r="D16" s="8" t="n"/>
      <c r="E16" s="8">
        <f>IF(D16="","",D16-C16)</f>
        <v/>
      </c>
      <c r="F16" s="7" t="inlineStr">
        <is>
          <t>Таргетолог</t>
        </is>
      </c>
      <c r="G16" s="7" t="inlineStr">
        <is>
          <t>Возврат посетителей отраслевых страниц</t>
        </is>
      </c>
      <c r="H16" s="7" t="inlineStr">
        <is>
          <t>Есть аудитория ≥300 посетителей</t>
        </is>
      </c>
      <c r="I16" s="7" t="inlineStr">
        <is>
          <t>Запланировано</t>
        </is>
      </c>
      <c r="J16" s="7" t="inlineStr"/>
    </row>
    <row r="17">
      <c r="A17" s="7" t="inlineStr">
        <is>
          <t>Октябрь</t>
        </is>
      </c>
      <c r="B17" s="7" t="inlineStr">
        <is>
          <t>SEO и качественные внешние ссылки</t>
        </is>
      </c>
      <c r="C17" s="8" t="n">
        <v>74000</v>
      </c>
      <c r="D17" s="8" t="n"/>
      <c r="E17" s="8">
        <f>IF(D17="","",D17-C17)</f>
        <v/>
      </c>
      <c r="F17" s="7" t="inlineStr">
        <is>
          <t>SEO + веб-дизайнер</t>
        </is>
      </c>
      <c r="G17" s="7" t="inlineStr">
        <is>
          <t>Рост видимости и доверия доменов</t>
        </is>
      </c>
      <c r="H17" s="7" t="inlineStr">
        <is>
          <t>Аудит домена и перечень проверенных площадок</t>
        </is>
      </c>
      <c r="I17" s="7" t="inlineStr">
        <is>
          <t>Запланировано</t>
        </is>
      </c>
      <c r="J17" s="7" t="inlineStr"/>
    </row>
    <row r="18">
      <c r="A18" s="7" t="inlineStr">
        <is>
          <t>Октябрь</t>
        </is>
      </c>
      <c r="B18" s="7" t="inlineStr">
        <is>
          <t>Экспертный контент и кейсы</t>
        </is>
      </c>
      <c r="C18" s="8" t="n">
        <v>55000</v>
      </c>
      <c r="D18" s="8" t="n"/>
      <c r="E18" s="8">
        <f>IF(D18="","",D18-C18)</f>
        <v/>
      </c>
      <c r="F18" s="7" t="inlineStr">
        <is>
          <t>Маркетинг + технический эксперт</t>
        </is>
      </c>
      <c r="G18" s="7" t="inlineStr">
        <is>
          <t>Кейсы, статьи и лид-магниты</t>
        </is>
      </c>
      <c r="H18" s="7" t="inlineStr">
        <is>
          <t>Фактология проверена техническим экспертом</t>
        </is>
      </c>
      <c r="I18" s="7" t="inlineStr">
        <is>
          <t>Запланировано</t>
        </is>
      </c>
      <c r="J18" s="7" t="inlineStr"/>
    </row>
    <row r="19">
      <c r="A19" s="7" t="inlineStr">
        <is>
          <t>Октябрь</t>
        </is>
      </c>
      <c r="B19" s="7" t="inlineStr">
        <is>
          <t>Видео и творческие материалы</t>
        </is>
      </c>
      <c r="C19" s="8" t="n">
        <v>45000</v>
      </c>
      <c r="D19" s="8" t="n"/>
      <c r="E19" s="8">
        <f>IF(D19="","",D19-C19)</f>
        <v/>
      </c>
      <c r="F19" s="7" t="inlineStr">
        <is>
          <t>Мобилограф</t>
        </is>
      </c>
      <c r="G19" s="7" t="inlineStr">
        <is>
          <t>Доказательный видеоконтент</t>
        </is>
      </c>
      <c r="H19" s="7" t="inlineStr">
        <is>
          <t>Сценарий и объект согласованы</t>
        </is>
      </c>
      <c r="I19" s="7" t="inlineStr">
        <is>
          <t>Запланировано</t>
        </is>
      </c>
      <c r="J19" s="7" t="inlineStr"/>
    </row>
    <row r="20">
      <c r="A20" s="7" t="inlineStr">
        <is>
          <t>Октябрь</t>
        </is>
      </c>
      <c r="B20" s="7" t="inlineStr">
        <is>
          <t>ABM, партнёры и экскурсии</t>
        </is>
      </c>
      <c r="C20" s="8" t="n">
        <v>70000</v>
      </c>
      <c r="D20" s="8" t="n"/>
      <c r="E20" s="8">
        <f>IF(D20="","",D20-C20)</f>
        <v/>
      </c>
      <c r="F20" s="7" t="inlineStr">
        <is>
          <t>Коммерческий директор + РОП</t>
        </is>
      </c>
      <c r="G20" s="7" t="inlineStr">
        <is>
          <t>Целевые встречи, партнёры и объекты</t>
        </is>
      </c>
      <c r="H20" s="7" t="inlineStr">
        <is>
          <t>Список целевых компаний и следующий шаг</t>
        </is>
      </c>
      <c r="I20" s="7" t="inlineStr">
        <is>
          <t>Запланировано</t>
        </is>
      </c>
      <c r="J20" s="7" t="inlineStr"/>
    </row>
    <row r="21">
      <c r="A21" s="7" t="inlineStr">
        <is>
          <t>Октябрь</t>
        </is>
      </c>
      <c r="B21" s="7" t="inlineStr">
        <is>
          <t>Аналитика и посадочные страницы</t>
        </is>
      </c>
      <c r="C21" s="8" t="n">
        <v>50000</v>
      </c>
      <c r="D21" s="8" t="n"/>
      <c r="E21" s="8">
        <f>IF(D21="","",D21-C21)</f>
        <v/>
      </c>
      <c r="F21" s="7" t="inlineStr">
        <is>
          <t>Веб-дизайнер + аналитик</t>
        </is>
      </c>
      <c r="G21" s="7" t="inlineStr">
        <is>
          <t>Корректная атрибуция и конверсия страниц</t>
        </is>
      </c>
      <c r="H21" s="7" t="inlineStr">
        <is>
          <t>События и UTM перед запуском рекламы</t>
        </is>
      </c>
      <c r="I21" s="7" t="inlineStr">
        <is>
          <t>Запланировано</t>
        </is>
      </c>
      <c r="J21" s="7" t="inlineStr"/>
    </row>
    <row r="22">
      <c r="A22" s="7" t="inlineStr">
        <is>
          <t>Октябрь</t>
        </is>
      </c>
      <c r="B22" s="7" t="inlineStr">
        <is>
          <t>ИИ и программные сервисы</t>
        </is>
      </c>
      <c r="C22" s="8" t="n">
        <v>30000</v>
      </c>
      <c r="D22" s="8" t="n"/>
      <c r="E22" s="8">
        <f>IF(D22="","",D22-C22)</f>
        <v/>
      </c>
      <c r="F22" s="7" t="inlineStr">
        <is>
          <t>Маркетинг</t>
        </is>
      </c>
      <c r="G22" s="7" t="inlineStr">
        <is>
          <t>Ускорение производства материалов</t>
        </is>
      </c>
      <c r="H22" s="7" t="inlineStr">
        <is>
          <t>Человеческая проверка каждого материала</t>
        </is>
      </c>
      <c r="I22" s="7" t="inlineStr">
        <is>
          <t>Запланировано</t>
        </is>
      </c>
      <c r="J22" s="7" t="inlineStr"/>
    </row>
    <row r="23">
      <c r="A23" s="7" t="inlineStr">
        <is>
          <t>Октябрь</t>
        </is>
      </c>
      <c r="B23" s="7" t="inlineStr">
        <is>
          <t>Отраслевые СМИ</t>
        </is>
      </c>
      <c r="C23" s="8" t="n">
        <v>0</v>
      </c>
      <c r="D23" s="8" t="n"/>
      <c r="E23" s="8">
        <f>IF(D23="","",D23-C23)</f>
        <v/>
      </c>
      <c r="F23" s="7" t="inlineStr">
        <is>
          <t>Коммерческий директор</t>
        </is>
      </c>
      <c r="G23" s="7" t="inlineStr">
        <is>
          <t>Проверяемый доступ к отраслевым ЛПР</t>
        </is>
      </c>
      <c r="H23" s="7" t="inlineStr">
        <is>
          <t>Посадочная страница, UTM и отслеживаемый номер</t>
        </is>
      </c>
      <c r="I23" s="7" t="inlineStr">
        <is>
          <t>Запланировано</t>
        </is>
      </c>
      <c r="J23" s="7" t="inlineStr"/>
    </row>
    <row r="24">
      <c r="A24" s="7" t="inlineStr">
        <is>
          <t>Октябрь</t>
        </is>
      </c>
      <c r="B24" s="7" t="inlineStr">
        <is>
          <t>Резерв и эксперименты</t>
        </is>
      </c>
      <c r="C24" s="8" t="n">
        <v>56000</v>
      </c>
      <c r="D24" s="8" t="n"/>
      <c r="E24" s="8">
        <f>IF(D24="","",D24-C24)</f>
        <v/>
      </c>
      <c r="F24" s="7" t="inlineStr">
        <is>
          <t>Коммерческий директор</t>
        </is>
      </c>
      <c r="G24" s="7" t="inlineStr">
        <is>
          <t>Проверка новых гипотез</t>
        </is>
      </c>
      <c r="H24" s="7" t="inlineStr">
        <is>
          <t>Письменная гипотеза и критерий остановки</t>
        </is>
      </c>
      <c r="I24" s="7" t="inlineStr">
        <is>
          <t>Запланировано</t>
        </is>
      </c>
      <c r="J24" s="7" t="inlineStr"/>
    </row>
    <row r="25">
      <c r="A25" s="7" t="inlineStr">
        <is>
          <t>Ноябрь</t>
        </is>
      </c>
      <c r="B25" s="7" t="inlineStr">
        <is>
          <t>Поисковая реклама</t>
        </is>
      </c>
      <c r="C25" s="8" t="n">
        <v>280000</v>
      </c>
      <c r="D25" s="8" t="n"/>
      <c r="E25" s="8">
        <f>IF(D25="","",D25-C25)</f>
        <v/>
      </c>
      <c r="F25" s="7" t="inlineStr">
        <is>
          <t>Таргетолог + РОП</t>
        </is>
      </c>
      <c r="G25" s="7" t="inlineStr">
        <is>
          <t>Квалифицированные проектные обращения</t>
        </is>
      </c>
      <c r="H25" s="7" t="inlineStr">
        <is>
          <t>≥1 квалифицированная возможность на 100 000 ₸</t>
        </is>
      </c>
      <c r="I25" s="7" t="inlineStr">
        <is>
          <t>Запланировано</t>
        </is>
      </c>
      <c r="J25" s="7" t="inlineStr"/>
    </row>
    <row r="26">
      <c r="A26" s="7" t="inlineStr">
        <is>
          <t>Ноябрь</t>
        </is>
      </c>
      <c r="B26" s="7" t="inlineStr">
        <is>
          <t>Повторный показ и медийные тесты</t>
        </is>
      </c>
      <c r="C26" s="8" t="n">
        <v>60000</v>
      </c>
      <c r="D26" s="8" t="n"/>
      <c r="E26" s="8">
        <f>IF(D26="","",D26-C26)</f>
        <v/>
      </c>
      <c r="F26" s="7" t="inlineStr">
        <is>
          <t>Таргетолог</t>
        </is>
      </c>
      <c r="G26" s="7" t="inlineStr">
        <is>
          <t>Возврат посетителей отраслевых страниц</t>
        </is>
      </c>
      <c r="H26" s="7" t="inlineStr">
        <is>
          <t>Есть аудитория ≥300 посетителей</t>
        </is>
      </c>
      <c r="I26" s="7" t="inlineStr">
        <is>
          <t>Запланировано</t>
        </is>
      </c>
      <c r="J26" s="7" t="inlineStr"/>
    </row>
    <row r="27">
      <c r="A27" s="7" t="inlineStr">
        <is>
          <t>Ноябрь</t>
        </is>
      </c>
      <c r="B27" s="7" t="inlineStr">
        <is>
          <t>SEO и качественные внешние ссылки</t>
        </is>
      </c>
      <c r="C27" s="8" t="n">
        <v>74000</v>
      </c>
      <c r="D27" s="8" t="n"/>
      <c r="E27" s="8">
        <f>IF(D27="","",D27-C27)</f>
        <v/>
      </c>
      <c r="F27" s="7" t="inlineStr">
        <is>
          <t>SEO + веб-дизайнер</t>
        </is>
      </c>
      <c r="G27" s="7" t="inlineStr">
        <is>
          <t>Рост видимости и доверия доменов</t>
        </is>
      </c>
      <c r="H27" s="7" t="inlineStr">
        <is>
          <t>Аудит домена и перечень проверенных площадок</t>
        </is>
      </c>
      <c r="I27" s="7" t="inlineStr">
        <is>
          <t>Запланировано</t>
        </is>
      </c>
      <c r="J27" s="7" t="inlineStr"/>
    </row>
    <row r="28">
      <c r="A28" s="7" t="inlineStr">
        <is>
          <t>Ноябрь</t>
        </is>
      </c>
      <c r="B28" s="7" t="inlineStr">
        <is>
          <t>Экспертный контент и кейсы</t>
        </is>
      </c>
      <c r="C28" s="8" t="n">
        <v>65000</v>
      </c>
      <c r="D28" s="8" t="n"/>
      <c r="E28" s="8">
        <f>IF(D28="","",D28-C28)</f>
        <v/>
      </c>
      <c r="F28" s="7" t="inlineStr">
        <is>
          <t>Маркетинг + технический эксперт</t>
        </is>
      </c>
      <c r="G28" s="7" t="inlineStr">
        <is>
          <t>Кейсы, статьи и лид-магниты</t>
        </is>
      </c>
      <c r="H28" s="7" t="inlineStr">
        <is>
          <t>Фактология проверена техническим экспертом</t>
        </is>
      </c>
      <c r="I28" s="7" t="inlineStr">
        <is>
          <t>Запланировано</t>
        </is>
      </c>
      <c r="J28" s="7" t="inlineStr"/>
    </row>
    <row r="29">
      <c r="A29" s="7" t="inlineStr">
        <is>
          <t>Ноябрь</t>
        </is>
      </c>
      <c r="B29" s="7" t="inlineStr">
        <is>
          <t>Видео и творческие материалы</t>
        </is>
      </c>
      <c r="C29" s="8" t="n">
        <v>55000</v>
      </c>
      <c r="D29" s="8" t="n"/>
      <c r="E29" s="8">
        <f>IF(D29="","",D29-C29)</f>
        <v/>
      </c>
      <c r="F29" s="7" t="inlineStr">
        <is>
          <t>Мобилограф</t>
        </is>
      </c>
      <c r="G29" s="7" t="inlineStr">
        <is>
          <t>Доказательный видеоконтент</t>
        </is>
      </c>
      <c r="H29" s="7" t="inlineStr">
        <is>
          <t>Сценарий и объект согласованы</t>
        </is>
      </c>
      <c r="I29" s="7" t="inlineStr">
        <is>
          <t>Запланировано</t>
        </is>
      </c>
      <c r="J29" s="7" t="inlineStr"/>
    </row>
    <row r="30">
      <c r="A30" s="7" t="inlineStr">
        <is>
          <t>Ноябрь</t>
        </is>
      </c>
      <c r="B30" s="7" t="inlineStr">
        <is>
          <t>ABM, партнёры и экскурсии</t>
        </is>
      </c>
      <c r="C30" s="8" t="n">
        <v>80000</v>
      </c>
      <c r="D30" s="8" t="n"/>
      <c r="E30" s="8">
        <f>IF(D30="","",D30-C30)</f>
        <v/>
      </c>
      <c r="F30" s="7" t="inlineStr">
        <is>
          <t>Коммерческий директор + РОП</t>
        </is>
      </c>
      <c r="G30" s="7" t="inlineStr">
        <is>
          <t>Целевые встречи, партнёры и объекты</t>
        </is>
      </c>
      <c r="H30" s="7" t="inlineStr">
        <is>
          <t>Список целевых компаний и следующий шаг</t>
        </is>
      </c>
      <c r="I30" s="7" t="inlineStr">
        <is>
          <t>Запланировано</t>
        </is>
      </c>
      <c r="J30" s="7" t="inlineStr"/>
    </row>
    <row r="31">
      <c r="A31" s="7" t="inlineStr">
        <is>
          <t>Ноябрь</t>
        </is>
      </c>
      <c r="B31" s="7" t="inlineStr">
        <is>
          <t>Аналитика и посадочные страницы</t>
        </is>
      </c>
      <c r="C31" s="8" t="n">
        <v>40000</v>
      </c>
      <c r="D31" s="8" t="n"/>
      <c r="E31" s="8">
        <f>IF(D31="","",D31-C31)</f>
        <v/>
      </c>
      <c r="F31" s="7" t="inlineStr">
        <is>
          <t>Веб-дизайнер + аналитик</t>
        </is>
      </c>
      <c r="G31" s="7" t="inlineStr">
        <is>
          <t>Корректная атрибуция и конверсия страниц</t>
        </is>
      </c>
      <c r="H31" s="7" t="inlineStr">
        <is>
          <t>События и UTM перед запуском рекламы</t>
        </is>
      </c>
      <c r="I31" s="7" t="inlineStr">
        <is>
          <t>Запланировано</t>
        </is>
      </c>
      <c r="J31" s="7" t="inlineStr"/>
    </row>
    <row r="32">
      <c r="A32" s="7" t="inlineStr">
        <is>
          <t>Ноябрь</t>
        </is>
      </c>
      <c r="B32" s="7" t="inlineStr">
        <is>
          <t>ИИ и программные сервисы</t>
        </is>
      </c>
      <c r="C32" s="8" t="n">
        <v>35000</v>
      </c>
      <c r="D32" s="8" t="n"/>
      <c r="E32" s="8">
        <f>IF(D32="","",D32-C32)</f>
        <v/>
      </c>
      <c r="F32" s="7" t="inlineStr">
        <is>
          <t>Маркетинг</t>
        </is>
      </c>
      <c r="G32" s="7" t="inlineStr">
        <is>
          <t>Ускорение производства материалов</t>
        </is>
      </c>
      <c r="H32" s="7" t="inlineStr">
        <is>
          <t>Человеческая проверка каждого материала</t>
        </is>
      </c>
      <c r="I32" s="7" t="inlineStr">
        <is>
          <t>Запланировано</t>
        </is>
      </c>
      <c r="J32" s="7" t="inlineStr"/>
    </row>
    <row r="33">
      <c r="A33" s="7" t="inlineStr">
        <is>
          <t>Ноябрь</t>
        </is>
      </c>
      <c r="B33" s="7" t="inlineStr">
        <is>
          <t>Отраслевые СМИ</t>
        </is>
      </c>
      <c r="C33" s="8" t="n">
        <v>120000</v>
      </c>
      <c r="D33" s="8" t="n"/>
      <c r="E33" s="8">
        <f>IF(D33="","",D33-C33)</f>
        <v/>
      </c>
      <c r="F33" s="7" t="inlineStr">
        <is>
          <t>Коммерческий директор</t>
        </is>
      </c>
      <c r="G33" s="7" t="inlineStr">
        <is>
          <t>Проверяемый доступ к отраслевым ЛПР</t>
        </is>
      </c>
      <c r="H33" s="7" t="inlineStr">
        <is>
          <t>Посадочная страница, UTM и отслеживаемый номер</t>
        </is>
      </c>
      <c r="I33" s="7" t="inlineStr">
        <is>
          <t>Запланировано</t>
        </is>
      </c>
      <c r="J33" s="7" t="inlineStr"/>
    </row>
    <row r="34">
      <c r="A34" s="7" t="inlineStr">
        <is>
          <t>Ноябрь</t>
        </is>
      </c>
      <c r="B34" s="7" t="inlineStr">
        <is>
          <t>Резерв и эксперименты</t>
        </is>
      </c>
      <c r="C34" s="8" t="n">
        <v>41000</v>
      </c>
      <c r="D34" s="8" t="n"/>
      <c r="E34" s="8">
        <f>IF(D34="","",D34-C34)</f>
        <v/>
      </c>
      <c r="F34" s="7" t="inlineStr">
        <is>
          <t>Коммерческий директор</t>
        </is>
      </c>
      <c r="G34" s="7" t="inlineStr">
        <is>
          <t>Проверка новых гипотез</t>
        </is>
      </c>
      <c r="H34" s="7" t="inlineStr">
        <is>
          <t>Письменная гипотеза и критерий остановки</t>
        </is>
      </c>
      <c r="I34" s="7" t="inlineStr">
        <is>
          <t>Запланировано</t>
        </is>
      </c>
      <c r="J34" s="7" t="inlineStr"/>
    </row>
    <row r="35">
      <c r="A35" s="7" t="inlineStr">
        <is>
          <t>Декабрь</t>
        </is>
      </c>
      <c r="B35" s="7" t="inlineStr">
        <is>
          <t>Поисковая реклама</t>
        </is>
      </c>
      <c r="C35" s="8" t="n">
        <v>360000</v>
      </c>
      <c r="D35" s="8" t="n"/>
      <c r="E35" s="8">
        <f>IF(D35="","",D35-C35)</f>
        <v/>
      </c>
      <c r="F35" s="7" t="inlineStr">
        <is>
          <t>Таргетолог + РОП</t>
        </is>
      </c>
      <c r="G35" s="7" t="inlineStr">
        <is>
          <t>Квалифицированные проектные обращения</t>
        </is>
      </c>
      <c r="H35" s="7" t="inlineStr">
        <is>
          <t>≥1 квалифицированная возможность на 100 000 ₸</t>
        </is>
      </c>
      <c r="I35" s="7" t="inlineStr">
        <is>
          <t>Запланировано</t>
        </is>
      </c>
      <c r="J35" s="7" t="inlineStr"/>
    </row>
    <row r="36">
      <c r="A36" s="7" t="inlineStr">
        <is>
          <t>Декабрь</t>
        </is>
      </c>
      <c r="B36" s="7" t="inlineStr">
        <is>
          <t>Повторный показ и медийные тесты</t>
        </is>
      </c>
      <c r="C36" s="8" t="n">
        <v>80000</v>
      </c>
      <c r="D36" s="8" t="n"/>
      <c r="E36" s="8">
        <f>IF(D36="","",D36-C36)</f>
        <v/>
      </c>
      <c r="F36" s="7" t="inlineStr">
        <is>
          <t>Таргетолог</t>
        </is>
      </c>
      <c r="G36" s="7" t="inlineStr">
        <is>
          <t>Возврат посетителей отраслевых страниц</t>
        </is>
      </c>
      <c r="H36" s="7" t="inlineStr">
        <is>
          <t>Есть аудитория ≥300 посетителей</t>
        </is>
      </c>
      <c r="I36" s="7" t="inlineStr">
        <is>
          <t>Запланировано</t>
        </is>
      </c>
      <c r="J36" s="7" t="inlineStr"/>
    </row>
    <row r="37">
      <c r="A37" s="7" t="inlineStr">
        <is>
          <t>Декабрь</t>
        </is>
      </c>
      <c r="B37" s="7" t="inlineStr">
        <is>
          <t>SEO и качественные внешние ссылки</t>
        </is>
      </c>
      <c r="C37" s="8" t="n">
        <v>100000</v>
      </c>
      <c r="D37" s="8" t="n"/>
      <c r="E37" s="8">
        <f>IF(D37="","",D37-C37)</f>
        <v/>
      </c>
      <c r="F37" s="7" t="inlineStr">
        <is>
          <t>SEO + веб-дизайнер</t>
        </is>
      </c>
      <c r="G37" s="7" t="inlineStr">
        <is>
          <t>Рост видимости и доверия доменов</t>
        </is>
      </c>
      <c r="H37" s="7" t="inlineStr">
        <is>
          <t>Аудит домена и перечень проверенных площадок</t>
        </is>
      </c>
      <c r="I37" s="7" t="inlineStr">
        <is>
          <t>Запланировано</t>
        </is>
      </c>
      <c r="J37" s="7" t="inlineStr"/>
    </row>
    <row r="38">
      <c r="A38" s="7" t="inlineStr">
        <is>
          <t>Декабрь</t>
        </is>
      </c>
      <c r="B38" s="7" t="inlineStr">
        <is>
          <t>Экспертный контент и кейсы</t>
        </is>
      </c>
      <c r="C38" s="8" t="n">
        <v>80000</v>
      </c>
      <c r="D38" s="8" t="n"/>
      <c r="E38" s="8">
        <f>IF(D38="","",D38-C38)</f>
        <v/>
      </c>
      <c r="F38" s="7" t="inlineStr">
        <is>
          <t>Маркетинг + технический эксперт</t>
        </is>
      </c>
      <c r="G38" s="7" t="inlineStr">
        <is>
          <t>Кейсы, статьи и лид-магниты</t>
        </is>
      </c>
      <c r="H38" s="7" t="inlineStr">
        <is>
          <t>Фактология проверена техническим экспертом</t>
        </is>
      </c>
      <c r="I38" s="7" t="inlineStr">
        <is>
          <t>Запланировано</t>
        </is>
      </c>
      <c r="J38" s="7" t="inlineStr"/>
    </row>
    <row r="39">
      <c r="A39" s="7" t="inlineStr">
        <is>
          <t>Декабрь</t>
        </is>
      </c>
      <c r="B39" s="7" t="inlineStr">
        <is>
          <t>Видео и творческие материалы</t>
        </is>
      </c>
      <c r="C39" s="8" t="n">
        <v>70000</v>
      </c>
      <c r="D39" s="8" t="n"/>
      <c r="E39" s="8">
        <f>IF(D39="","",D39-C39)</f>
        <v/>
      </c>
      <c r="F39" s="7" t="inlineStr">
        <is>
          <t>Мобилограф</t>
        </is>
      </c>
      <c r="G39" s="7" t="inlineStr">
        <is>
          <t>Доказательный видеоконтент</t>
        </is>
      </c>
      <c r="H39" s="7" t="inlineStr">
        <is>
          <t>Сценарий и объект согласованы</t>
        </is>
      </c>
      <c r="I39" s="7" t="inlineStr">
        <is>
          <t>Запланировано</t>
        </is>
      </c>
      <c r="J39" s="7" t="inlineStr"/>
    </row>
    <row r="40">
      <c r="A40" s="7" t="inlineStr">
        <is>
          <t>Декабрь</t>
        </is>
      </c>
      <c r="B40" s="7" t="inlineStr">
        <is>
          <t>ABM, партнёры и экскурсии</t>
        </is>
      </c>
      <c r="C40" s="8" t="n">
        <v>100000</v>
      </c>
      <c r="D40" s="8" t="n"/>
      <c r="E40" s="8">
        <f>IF(D40="","",D40-C40)</f>
        <v/>
      </c>
      <c r="F40" s="7" t="inlineStr">
        <is>
          <t>Коммерческий директор + РОП</t>
        </is>
      </c>
      <c r="G40" s="7" t="inlineStr">
        <is>
          <t>Целевые встречи, партнёры и объекты</t>
        </is>
      </c>
      <c r="H40" s="7" t="inlineStr">
        <is>
          <t>Список целевых компаний и следующий шаг</t>
        </is>
      </c>
      <c r="I40" s="7" t="inlineStr">
        <is>
          <t>Запланировано</t>
        </is>
      </c>
      <c r="J40" s="7" t="inlineStr"/>
    </row>
    <row r="41">
      <c r="A41" s="7" t="inlineStr">
        <is>
          <t>Декабрь</t>
        </is>
      </c>
      <c r="B41" s="7" t="inlineStr">
        <is>
          <t>Аналитика и посадочные страницы</t>
        </is>
      </c>
      <c r="C41" s="8" t="n">
        <v>40000</v>
      </c>
      <c r="D41" s="8" t="n"/>
      <c r="E41" s="8">
        <f>IF(D41="","",D41-C41)</f>
        <v/>
      </c>
      <c r="F41" s="7" t="inlineStr">
        <is>
          <t>Веб-дизайнер + аналитик</t>
        </is>
      </c>
      <c r="G41" s="7" t="inlineStr">
        <is>
          <t>Корректная атрибуция и конверсия страниц</t>
        </is>
      </c>
      <c r="H41" s="7" t="inlineStr">
        <is>
          <t>События и UTM перед запуском рекламы</t>
        </is>
      </c>
      <c r="I41" s="7" t="inlineStr">
        <is>
          <t>Запланировано</t>
        </is>
      </c>
      <c r="J41" s="7" t="inlineStr"/>
    </row>
    <row r="42">
      <c r="A42" s="7" t="inlineStr">
        <is>
          <t>Декабрь</t>
        </is>
      </c>
      <c r="B42" s="7" t="inlineStr">
        <is>
          <t>ИИ и программные сервисы</t>
        </is>
      </c>
      <c r="C42" s="8" t="n">
        <v>40000</v>
      </c>
      <c r="D42" s="8" t="n"/>
      <c r="E42" s="8">
        <f>IF(D42="","",D42-C42)</f>
        <v/>
      </c>
      <c r="F42" s="7" t="inlineStr">
        <is>
          <t>Маркетинг</t>
        </is>
      </c>
      <c r="G42" s="7" t="inlineStr">
        <is>
          <t>Ускорение производства материалов</t>
        </is>
      </c>
      <c r="H42" s="7" t="inlineStr">
        <is>
          <t>Человеческая проверка каждого материала</t>
        </is>
      </c>
      <c r="I42" s="7" t="inlineStr">
        <is>
          <t>Запланировано</t>
        </is>
      </c>
      <c r="J42" s="7" t="inlineStr"/>
    </row>
    <row r="43">
      <c r="A43" s="7" t="inlineStr">
        <is>
          <t>Декабрь</t>
        </is>
      </c>
      <c r="B43" s="7" t="inlineStr">
        <is>
          <t>Отраслевые СМИ</t>
        </is>
      </c>
      <c r="C43" s="8" t="n">
        <v>150000</v>
      </c>
      <c r="D43" s="8" t="n"/>
      <c r="E43" s="8">
        <f>IF(D43="","",D43-C43)</f>
        <v/>
      </c>
      <c r="F43" s="7" t="inlineStr">
        <is>
          <t>Коммерческий директор</t>
        </is>
      </c>
      <c r="G43" s="7" t="inlineStr">
        <is>
          <t>Проверяемый доступ к отраслевым ЛПР</t>
        </is>
      </c>
      <c r="H43" s="7" t="inlineStr">
        <is>
          <t>Посадочная страница, UTM и отслеживаемый номер</t>
        </is>
      </c>
      <c r="I43" s="7" t="inlineStr">
        <is>
          <t>Запланировано</t>
        </is>
      </c>
      <c r="J43" s="7" t="inlineStr"/>
    </row>
    <row r="44">
      <c r="A44" s="7" t="inlineStr">
        <is>
          <t>Декабрь</t>
        </is>
      </c>
      <c r="B44" s="7" t="inlineStr">
        <is>
          <t>Резерв и эксперименты</t>
        </is>
      </c>
      <c r="C44" s="8" t="n">
        <v>30000</v>
      </c>
      <c r="D44" s="8" t="n"/>
      <c r="E44" s="8">
        <f>IF(D44="","",D44-C44)</f>
        <v/>
      </c>
      <c r="F44" s="7" t="inlineStr">
        <is>
          <t>Коммерческий директор</t>
        </is>
      </c>
      <c r="G44" s="7" t="inlineStr">
        <is>
          <t>Проверка новых гипотез</t>
        </is>
      </c>
      <c r="H44" s="7" t="inlineStr">
        <is>
          <t>Письменная гипотеза и критерий остановки</t>
        </is>
      </c>
      <c r="I44" s="7" t="inlineStr">
        <is>
          <t>Запланировано</t>
        </is>
      </c>
      <c r="J44" s="7" t="inlineStr"/>
    </row>
  </sheetData>
  <autoFilter ref="A4:J44"/>
  <mergeCells count="1">
    <mergeCell ref="A1:J1"/>
  </mergeCells>
  <dataValidations count="1">
    <dataValidation sqref="I5:I44" showDropDown="0" showInputMessage="0" showErrorMessage="0" allowBlank="0" type="list">
      <formula1>"Запланировано,Согласовано,В работе,Завершено,Остановлено"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0" customWidth="1" min="4" max="4"/>
    <col width="18" customWidth="1" min="5" max="5"/>
    <col width="20" customWidth="1" min="6" max="6"/>
    <col width="19" customWidth="1" min="7" max="7"/>
    <col width="18" customWidth="1" min="8" max="8"/>
    <col width="18" customWidth="1" min="9" max="9"/>
    <col width="52" customWidth="1" min="10" max="10"/>
    <col width="22" customWidth="1" min="11" max="11"/>
  </cols>
  <sheetData>
    <row r="1" ht="28" customHeight="1">
      <c r="A1" s="1" t="inlineStr">
        <is>
          <t>Показатели и условия перехода к следующей ступени</t>
        </is>
      </c>
    </row>
    <row r="4">
      <c r="A4" s="2" t="inlineStr">
        <is>
          <t>Месяц</t>
        </is>
      </c>
      <c r="B4" s="2" t="inlineStr">
        <is>
          <t>Все обращения</t>
        </is>
      </c>
      <c r="C4" s="2" t="inlineStr">
        <is>
          <t>Маркетингово квалифицированные</t>
        </is>
      </c>
      <c r="D4" s="2" t="inlineStr">
        <is>
          <t>Коммерческие возможности</t>
        </is>
      </c>
      <c r="E4" s="2" t="inlineStr">
        <is>
          <t>Новая воронка, тонн</t>
        </is>
      </c>
      <c r="F4" s="2" t="inlineStr">
        <is>
          <t>Стоимость возможности</t>
        </is>
      </c>
      <c r="G4" s="2" t="inlineStr">
        <is>
          <t>Стоимость тонны воронки</t>
        </is>
      </c>
      <c r="H4" s="2" t="inlineStr">
        <is>
          <t>Заполнение Битрикс24</t>
        </is>
      </c>
      <c r="I4" s="2" t="inlineStr">
        <is>
          <t>Срок реакции</t>
        </is>
      </c>
      <c r="J4" s="2" t="inlineStr">
        <is>
          <t>Условие перехода</t>
        </is>
      </c>
      <c r="K4" s="2" t="inlineStr">
        <is>
          <t>Решение</t>
        </is>
      </c>
    </row>
    <row r="5">
      <c r="A5" s="7" t="inlineStr">
        <is>
          <t>Сентябрь</t>
        </is>
      </c>
      <c r="B5" s="7" t="n">
        <v>15</v>
      </c>
      <c r="C5" s="7" t="n">
        <v>6</v>
      </c>
      <c r="D5" s="7" t="n">
        <v>2</v>
      </c>
      <c r="E5" s="7" t="n">
        <v>80</v>
      </c>
      <c r="F5" s="8">
        <f>'Помесячный бюджет'!B5/D5</f>
        <v/>
      </c>
      <c r="G5" s="8">
        <f>'Помесячный бюджет'!B5/E5</f>
        <v/>
      </c>
      <c r="H5" s="9" t="n">
        <v>0.95</v>
      </c>
      <c r="I5" s="7" t="inlineStr">
        <is>
          <t>≤1 рабочего дня</t>
        </is>
      </c>
      <c r="J5" s="7" t="inlineStr">
        <is>
          <t>Настроена аналитика; ≥2 возможностей; 95% карточек заполнены</t>
        </is>
      </c>
      <c r="K5" s="7" t="inlineStr">
        <is>
          <t>Проверить по факту</t>
        </is>
      </c>
    </row>
    <row r="6">
      <c r="A6" s="7" t="inlineStr">
        <is>
          <t>Октябрь</t>
        </is>
      </c>
      <c r="B6" s="7" t="n">
        <v>22</v>
      </c>
      <c r="C6" s="7" t="n">
        <v>9</v>
      </c>
      <c r="D6" s="7" t="n">
        <v>3</v>
      </c>
      <c r="E6" s="7" t="n">
        <v>150</v>
      </c>
      <c r="F6" s="8">
        <f>'Помесячный бюджет'!B6/D6</f>
        <v/>
      </c>
      <c r="G6" s="8">
        <f>'Помесячный бюджет'!B6/E6</f>
        <v/>
      </c>
      <c r="H6" s="9" t="n">
        <v>0.95</v>
      </c>
      <c r="I6" s="7" t="inlineStr">
        <is>
          <t>≤1 рабочего дня</t>
        </is>
      </c>
      <c r="J6" s="7" t="inlineStr">
        <is>
          <t>≥3 возможностей; есть первая атрибуция каналов; производство подтверждает приоритетные сегменты</t>
        </is>
      </c>
      <c r="K6" s="7" t="inlineStr">
        <is>
          <t>Проверить по факту</t>
        </is>
      </c>
    </row>
    <row r="7">
      <c r="A7" s="7" t="inlineStr">
        <is>
          <t>Ноябрь</t>
        </is>
      </c>
      <c r="B7" s="7" t="n">
        <v>30</v>
      </c>
      <c r="C7" s="7" t="n">
        <v>12</v>
      </c>
      <c r="D7" s="7" t="n">
        <v>4</v>
      </c>
      <c r="E7" s="7" t="n">
        <v>220</v>
      </c>
      <c r="F7" s="8">
        <f>'Помесячный бюджет'!B7/D7</f>
        <v/>
      </c>
      <c r="G7" s="8">
        <f>'Помесячный бюджет'!B7/E7</f>
        <v/>
      </c>
      <c r="H7" s="9" t="n">
        <v>0.95</v>
      </c>
      <c r="I7" s="7" t="inlineStr">
        <is>
          <t>≤1 рабочего дня</t>
        </is>
      </c>
      <c r="J7" s="7" t="inlineStr">
        <is>
          <t>≥4 возможностей; стоимость возможности ≤225 тыс. ₸; отраслевой пилот измерим</t>
        </is>
      </c>
      <c r="K7" s="7" t="inlineStr">
        <is>
          <t>Проверить по факту</t>
        </is>
      </c>
    </row>
    <row r="8">
      <c r="A8" s="7" t="inlineStr">
        <is>
          <t>Декабрь</t>
        </is>
      </c>
      <c r="B8" s="7" t="n">
        <v>38</v>
      </c>
      <c r="C8" s="7" t="n">
        <v>15</v>
      </c>
      <c r="D8" s="7" t="n">
        <v>5</v>
      </c>
      <c r="E8" s="7" t="n">
        <v>300</v>
      </c>
      <c r="F8" s="8">
        <f>'Помесячный бюджет'!B8/D8</f>
        <v/>
      </c>
      <c r="G8" s="8">
        <f>'Помесячный бюджет'!B8/E8</f>
        <v/>
      </c>
      <c r="H8" s="9" t="n">
        <v>0.95</v>
      </c>
      <c r="I8" s="7" t="inlineStr">
        <is>
          <t>≤1 рабочего дня</t>
        </is>
      </c>
      <c r="J8" s="7" t="inlineStr">
        <is>
          <t>≥5 возможностей; сформирована воронка 300 т; утверждён план I квартала 2027</t>
        </is>
      </c>
      <c r="K8" s="7" t="inlineStr">
        <is>
          <t>Проверить по факту</t>
        </is>
      </c>
    </row>
  </sheetData>
  <mergeCells count="1"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52" customWidth="1" min="4" max="4"/>
    <col width="15" customWidth="1" min="5" max="5"/>
    <col width="15" customWidth="1" min="6" max="6"/>
  </cols>
  <sheetData>
    <row r="1" ht="28" customHeight="1">
      <c r="A1" s="1" t="inlineStr">
        <is>
          <t>Аудит файла «Маркетинговый бюджет.xlsx»</t>
        </is>
      </c>
    </row>
    <row r="4">
      <c r="A4" s="2" t="inlineStr">
        <is>
          <t>№</t>
        </is>
      </c>
      <c r="B4" s="2" t="inlineStr">
        <is>
          <t>Наблюдение</t>
        </is>
      </c>
      <c r="C4" s="2" t="inlineStr">
        <is>
          <t>Риск</t>
        </is>
      </c>
      <c r="D4" s="2" t="inlineStr">
        <is>
          <t>Рекомендация</t>
        </is>
      </c>
      <c r="E4" s="2" t="inlineStr">
        <is>
          <t>Приоритет</t>
        </is>
      </c>
      <c r="F4" s="2" t="inlineStr">
        <is>
          <t>Статус</t>
        </is>
      </c>
    </row>
    <row r="5">
      <c r="A5" s="7" t="n">
        <v>1</v>
      </c>
      <c r="B5" s="7" t="inlineStr">
        <is>
          <t>Три медиаплана: 235 216 / 482 583 / 708 820 ₸</t>
        </is>
      </c>
      <c r="C5" s="7" t="inlineStr">
        <is>
          <t>Это только платный трафик, без полного маркетингового контура</t>
        </is>
      </c>
      <c r="D5" s="7" t="inlineStr">
        <is>
          <t>Использовать как исходную гипотезу, заменить фактом Битрикс24</t>
        </is>
      </c>
      <c r="E5" s="7" t="inlineStr">
        <is>
          <t>Высокий</t>
        </is>
      </c>
      <c r="F5" s="7" t="inlineStr">
        <is>
          <t>Открыто</t>
        </is>
      </c>
    </row>
    <row r="6">
      <c r="A6" s="7" t="n">
        <v>2</v>
      </c>
      <c r="B6" s="7" t="inlineStr">
        <is>
          <t>Прогноз 59–170 лидов</t>
        </is>
      </c>
      <c r="C6" s="7" t="inlineStr">
        <is>
          <t>Не определено качество лида и отсутствует фактическая конверсия</t>
        </is>
      </c>
      <c r="D6" s="7" t="inlineStr">
        <is>
          <t>Считать коммерческие возможности и квалифицированные тонны</t>
        </is>
      </c>
      <c r="E6" s="7" t="inlineStr">
        <is>
          <t>Критический</t>
        </is>
      </c>
      <c r="F6" s="7" t="inlineStr">
        <is>
          <t>Открыто</t>
        </is>
      </c>
    </row>
    <row r="7">
      <c r="A7" s="7" t="n">
        <v>3</v>
      </c>
      <c r="B7" s="7" t="inlineStr">
        <is>
          <t>Аудитория M-W 25–55, Казахстан кроме запада</t>
        </is>
      </c>
      <c r="C7" s="7" t="inlineStr">
        <is>
          <t>Слишком широкая сегментация для проектного B2B</t>
        </is>
      </c>
      <c r="D7" s="7" t="inlineStr">
        <is>
          <t>Сегментировать по отраслям, объектам, ролям и регионам</t>
        </is>
      </c>
      <c r="E7" s="7" t="inlineStr">
        <is>
          <t>Высокий</t>
        </is>
      </c>
      <c r="F7" s="7" t="inlineStr">
        <is>
          <t>Открыто</t>
        </is>
      </c>
    </row>
    <row r="8">
      <c r="A8" s="7" t="n">
        <v>4</v>
      </c>
      <c r="B8" s="7" t="inlineStr">
        <is>
          <t>Google/Яндекс рассчитаны в USD по курсу 488</t>
        </is>
      </c>
      <c r="C8" s="7" t="inlineStr">
        <is>
          <t>Не учтены курс, НДС, комиссия и сопровождение</t>
        </is>
      </c>
      <c r="D8" s="7" t="inlineStr">
        <is>
          <t>Вести утверждённый предел в тенге; комиссии — отдельными строками</t>
        </is>
      </c>
      <c r="E8" s="7" t="inlineStr">
        <is>
          <t>Средний</t>
        </is>
      </c>
      <c r="F8" s="7" t="inlineStr">
        <is>
          <t>Открыто</t>
        </is>
      </c>
    </row>
    <row r="9">
      <c r="A9" s="7" t="n">
        <v>5</v>
      </c>
      <c r="B9" s="7" t="inlineStr">
        <is>
          <t>74 000 ₸ на внешние ссылки</t>
        </is>
      </c>
      <c r="C9" s="7" t="inlineStr">
        <is>
          <t>Неясно: на один сайт или на оба; нет перечня площадок</t>
        </is>
      </c>
      <c r="D9" s="7" t="inlineStr">
        <is>
          <t>Начать с пилота 37 000 ₸ и масштабировать после аудита</t>
        </is>
      </c>
      <c r="E9" s="7" t="inlineStr">
        <is>
          <t>Высокий</t>
        </is>
      </c>
      <c r="F9" s="7" t="inlineStr">
        <is>
          <t>Открыто</t>
        </is>
      </c>
    </row>
    <row r="10">
      <c r="A10" s="7" t="n">
        <v>6</v>
      </c>
      <c r="B10" s="7" t="inlineStr">
        <is>
          <t>ElDala: баннеры, статья, новость</t>
        </is>
      </c>
      <c r="C10" s="7" t="inlineStr">
        <is>
          <t>Охват площадки не равен квалифицированным объектам</t>
        </is>
      </c>
      <c r="D10" s="7" t="inlineStr">
        <is>
          <t>Только пилот с UTM, посадочной страницей и стоп-критерием</t>
        </is>
      </c>
      <c r="E10" s="7" t="inlineStr">
        <is>
          <t>Высокий</t>
        </is>
      </c>
      <c r="F10" s="7" t="inlineStr">
        <is>
          <t>Открыто</t>
        </is>
      </c>
    </row>
    <row r="11">
      <c r="A11" s="7" t="n">
        <v>7</v>
      </c>
      <c r="B11" s="7" t="inlineStr">
        <is>
          <t>Телефон от 180 000 ₸</t>
        </is>
      </c>
      <c r="C11" s="7" t="inlineStr">
        <is>
          <t>Нет технического задания и критерия выбора</t>
        </is>
      </c>
      <c r="D11" s="7" t="inlineStr">
        <is>
          <t>Утвердить спецификацию и лимит до покупки</t>
        </is>
      </c>
      <c r="E11" s="7" t="inlineStr">
        <is>
          <t>Средний</t>
        </is>
      </c>
      <c r="F11" s="7" t="inlineStr">
        <is>
          <t>Открыто</t>
        </is>
      </c>
    </row>
    <row r="12">
      <c r="A12" s="7" t="n">
        <v>8</v>
      </c>
      <c r="B12" s="7" t="inlineStr">
        <is>
          <t>Зарплата мобилографа не указана</t>
        </is>
      </c>
      <c r="C12" s="7" t="inlineStr">
        <is>
          <t>Нельзя определить полный бюджет функции</t>
        </is>
      </c>
      <c r="D12" s="7" t="inlineStr">
        <is>
          <t>Вынести фонд оплаты труда отдельным решением</t>
        </is>
      </c>
      <c r="E12" s="7" t="inlineStr">
        <is>
          <t>Высокий</t>
        </is>
      </c>
      <c r="F12" s="7" t="inlineStr">
        <is>
          <t>Открыто</t>
        </is>
      </c>
    </row>
    <row r="13">
      <c r="A13" s="7" t="n">
        <v>9</v>
      </c>
      <c r="B13" s="7" t="inlineStr">
        <is>
          <t>Нет план/факта и правил остановки</t>
        </is>
      </c>
      <c r="C13" s="7" t="inlineStr">
        <is>
          <t>Расходы могут расти без результата</t>
        </is>
      </c>
      <c r="D13" s="7" t="inlineStr">
        <is>
          <t>Ежемесячный комитет и контрольные рубежи</t>
        </is>
      </c>
      <c r="E13" s="7" t="inlineStr">
        <is>
          <t>Критический</t>
        </is>
      </c>
      <c r="F13" s="7" t="inlineStr">
        <is>
          <t>Открыто</t>
        </is>
      </c>
    </row>
    <row r="14">
      <c r="A14" s="7" t="n">
        <v>10</v>
      </c>
      <c r="B14" s="7" t="inlineStr">
        <is>
          <t>Нет связи с производственными слотами</t>
        </is>
      </c>
      <c r="C14" s="7" t="inlineStr">
        <is>
          <t>Маркетинг может создать неисполнимый спрос</t>
        </is>
      </c>
      <c r="D14" s="7" t="inlineStr">
        <is>
          <t>Синхронизировать сегменты и обещания с производством</t>
        </is>
      </c>
      <c r="E14" s="7" t="inlineStr">
        <is>
          <t>Критический</t>
        </is>
      </c>
      <c r="F14" s="7" t="inlineStr">
        <is>
          <t>Открыто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22" customWidth="1" min="3" max="3"/>
    <col width="25" customWidth="1" min="4" max="4"/>
    <col width="27" customWidth="1" min="5" max="5"/>
    <col width="35" customWidth="1" min="6" max="6"/>
    <col width="22" customWidth="1" min="7" max="7"/>
    <col width="15" customWidth="1" min="8" max="8"/>
  </cols>
  <sheetData>
    <row r="1" ht="28" customHeight="1">
      <c r="A1" s="1" t="inlineStr">
        <is>
          <t>Контент и доказательства для поддержки бюджета</t>
        </is>
      </c>
    </row>
    <row r="4">
      <c r="A4" s="2" t="inlineStr">
        <is>
          <t>Месяц</t>
        </is>
      </c>
      <c r="B4" s="2" t="inlineStr">
        <is>
          <t>Материал</t>
        </is>
      </c>
      <c r="C4" s="2" t="inlineStr">
        <is>
          <t>Формат</t>
        </is>
      </c>
      <c r="D4" s="2" t="inlineStr">
        <is>
          <t>Целевой сегмент</t>
        </is>
      </c>
      <c r="E4" s="2" t="inlineStr">
        <is>
          <t>Ответственный</t>
        </is>
      </c>
      <c r="F4" s="2" t="inlineStr">
        <is>
          <t>Призыв к действию</t>
        </is>
      </c>
      <c r="G4" s="2" t="inlineStr">
        <is>
          <t>Показатель</t>
        </is>
      </c>
      <c r="H4" s="2" t="inlineStr">
        <is>
          <t>Статус</t>
        </is>
      </c>
    </row>
    <row r="5">
      <c r="A5" s="7" t="inlineStr">
        <is>
          <t>Сентябрь</t>
        </is>
      </c>
      <c r="B5" s="7" t="inlineStr">
        <is>
          <t>ЛСТК против традиционного строительства: честный разбор</t>
        </is>
      </c>
      <c r="C5" s="7" t="inlineStr">
        <is>
          <t>Статья + карусель</t>
        </is>
      </c>
      <c r="D5" s="7" t="inlineStr">
        <is>
          <t>Промышленность/склады</t>
        </is>
      </c>
      <c r="E5" s="7" t="inlineStr">
        <is>
          <t>Маркетинг + инженер</t>
        </is>
      </c>
      <c r="F5" s="7" t="inlineStr">
        <is>
          <t>Получить предварительный разбор объекта</t>
        </is>
      </c>
      <c r="G5" s="7" t="inlineStr">
        <is>
          <t>Квалифицированные обращения</t>
        </is>
      </c>
      <c r="H5" s="7" t="inlineStr">
        <is>
          <t>В планах</t>
        </is>
      </c>
    </row>
    <row r="6">
      <c r="A6" s="7" t="inlineStr">
        <is>
          <t>Сентябрь</t>
        </is>
      </c>
      <c r="B6" s="7" t="inlineStr">
        <is>
          <t>Гид: 7 вопросов заводу перед договором</t>
        </is>
      </c>
      <c r="C6" s="7" t="inlineStr">
        <is>
          <t>Лид-магнит</t>
        </is>
      </c>
      <c r="D6" s="7" t="inlineStr">
        <is>
          <t>Все B2B</t>
        </is>
      </c>
      <c r="E6" s="7" t="inlineStr">
        <is>
          <t>Маркетинг + РОП</t>
        </is>
      </c>
      <c r="F6" s="7" t="inlineStr">
        <is>
          <t>Скачать после формы с объектом и тоннажем</t>
        </is>
      </c>
      <c r="G6" s="7" t="inlineStr">
        <is>
          <t>Заполненные формы</t>
        </is>
      </c>
      <c r="H6" s="7" t="inlineStr">
        <is>
          <t>В планах</t>
        </is>
      </c>
    </row>
    <row r="7">
      <c r="A7" s="7" t="inlineStr">
        <is>
          <t>Сентябрь</t>
        </is>
      </c>
      <c r="B7" s="7" t="inlineStr">
        <is>
          <t>Экскурсия на производство</t>
        </is>
      </c>
      <c r="C7" s="7" t="inlineStr">
        <is>
          <t>Видео + очное событие</t>
        </is>
      </c>
      <c r="D7" s="7" t="inlineStr">
        <is>
          <t>Генподрядчики/проектировщики</t>
        </is>
      </c>
      <c r="E7" s="7" t="inlineStr">
        <is>
          <t>Мобилограф + РОП</t>
        </is>
      </c>
      <c r="F7" s="7" t="inlineStr">
        <is>
          <t>Записаться на техническую встречу</t>
        </is>
      </c>
      <c r="G7" s="7" t="inlineStr">
        <is>
          <t>Участники и встречи</t>
        </is>
      </c>
      <c r="H7" s="7" t="inlineStr">
        <is>
          <t>В планах</t>
        </is>
      </c>
    </row>
    <row r="8">
      <c r="A8" s="7" t="inlineStr">
        <is>
          <t>Октябрь</t>
        </is>
      </c>
      <c r="B8" s="7" t="inlineStr">
        <is>
          <t>Сделано в Казахстане: 5 причин</t>
        </is>
      </c>
      <c r="C8" s="7" t="inlineStr">
        <is>
          <t>Статья + видео</t>
        </is>
      </c>
      <c r="D8" s="7" t="inlineStr">
        <is>
          <t>Агро/промышленность</t>
        </is>
      </c>
      <c r="E8" s="7" t="inlineStr">
        <is>
          <t>Маркетинг</t>
        </is>
      </c>
      <c r="F8" s="7" t="inlineStr">
        <is>
          <t>Запросить расчёт</t>
        </is>
      </c>
      <c r="G8" s="7" t="inlineStr">
        <is>
          <t>Возможности</t>
        </is>
      </c>
      <c r="H8" s="7" t="inlineStr">
        <is>
          <t>В планах</t>
        </is>
      </c>
    </row>
    <row r="9">
      <c r="A9" s="7" t="inlineStr">
        <is>
          <t>Октябрь</t>
        </is>
      </c>
      <c r="B9" s="7" t="inlineStr">
        <is>
          <t>С-профиль, Сигма, Z или П-профиль</t>
        </is>
      </c>
      <c r="C9" s="7" t="inlineStr">
        <is>
          <t>Технический разбор</t>
        </is>
      </c>
      <c r="D9" s="7" t="inlineStr">
        <is>
          <t>Проектировщики</t>
        </is>
      </c>
      <c r="E9" s="7" t="inlineStr">
        <is>
          <t>Инженер + маркетинг</t>
        </is>
      </c>
      <c r="F9" s="7" t="inlineStr">
        <is>
          <t>Запросить узлы</t>
        </is>
      </c>
      <c r="G9" s="7" t="inlineStr">
        <is>
          <t>Проектные контакты</t>
        </is>
      </c>
      <c r="H9" s="7" t="inlineStr">
        <is>
          <t>В планах</t>
        </is>
      </c>
    </row>
    <row r="10">
      <c r="A10" s="7" t="inlineStr">
        <is>
          <t>Октябрь</t>
        </is>
      </c>
      <c r="B10" s="7" t="inlineStr">
        <is>
          <t>Стройка зимой</t>
        </is>
      </c>
      <c r="C10" s="7" t="inlineStr">
        <is>
          <t>Видео-кейс</t>
        </is>
      </c>
      <c r="D10" s="7" t="inlineStr">
        <is>
          <t>Склады/агро</t>
        </is>
      </c>
      <c r="E10" s="7" t="inlineStr">
        <is>
          <t>Мобилограф + производство</t>
        </is>
      </c>
      <c r="F10" s="7" t="inlineStr">
        <is>
          <t>Обсудить зимний график</t>
        </is>
      </c>
      <c r="G10" s="7" t="inlineStr">
        <is>
          <t>Встречи</t>
        </is>
      </c>
      <c r="H10" s="7" t="inlineStr">
        <is>
          <t>В планах</t>
        </is>
      </c>
    </row>
    <row r="11">
      <c r="A11" s="7" t="inlineStr">
        <is>
          <t>Ноябрь</t>
        </is>
      </c>
      <c r="B11" s="7" t="inlineStr">
        <is>
          <t>Быстровозводимые здания для сельского хозяйства</t>
        </is>
      </c>
      <c r="C11" s="7" t="inlineStr">
        <is>
          <t>Отраслевая страница</t>
        </is>
      </c>
      <c r="D11" s="7" t="inlineStr">
        <is>
          <t>Агропром</t>
        </is>
      </c>
      <c r="E11" s="7" t="inlineStr">
        <is>
          <t>Веб-дизайнер + КД</t>
        </is>
      </c>
      <c r="F11" s="7" t="inlineStr">
        <is>
          <t>Получить отраслевое предложение</t>
        </is>
      </c>
      <c r="G11" s="7" t="inlineStr">
        <is>
          <t>Тонны воронки</t>
        </is>
      </c>
      <c r="H11" s="7" t="inlineStr">
        <is>
          <t>В планах</t>
        </is>
      </c>
    </row>
    <row r="12">
      <c r="A12" s="7" t="inlineStr">
        <is>
          <t>Ноябрь</t>
        </is>
      </c>
      <c r="B12" s="7" t="inlineStr">
        <is>
          <t>Точка росы и конденсат</t>
        </is>
      </c>
      <c r="C12" s="7" t="inlineStr">
        <is>
          <t>Вебинар</t>
        </is>
      </c>
      <c r="D12" s="7" t="inlineStr">
        <is>
          <t>Склады/агро</t>
        </is>
      </c>
      <c r="E12" s="7" t="inlineStr">
        <is>
          <t>Инженер + РОП</t>
        </is>
      </c>
      <c r="F12" s="7" t="inlineStr">
        <is>
          <t>Записаться на консультацию</t>
        </is>
      </c>
      <c r="G12" s="7" t="inlineStr">
        <is>
          <t>SQL</t>
        </is>
      </c>
      <c r="H12" s="7" t="inlineStr">
        <is>
          <t>В планах</t>
        </is>
      </c>
    </row>
    <row r="13">
      <c r="A13" s="7" t="inlineStr">
        <is>
          <t>Ноябрь</t>
        </is>
      </c>
      <c r="B13" s="7" t="inlineStr">
        <is>
          <t>Реальный кейс экономии на фундаменте</t>
        </is>
      </c>
      <c r="C13" s="7" t="inlineStr">
        <is>
          <t>Кейс с проверенными цифрами</t>
        </is>
      </c>
      <c r="D13" s="7" t="inlineStr">
        <is>
          <t>Собственники объектов</t>
        </is>
      </c>
      <c r="E13" s="7" t="inlineStr">
        <is>
          <t>КД + инженер</t>
        </is>
      </c>
      <c r="F13" s="7" t="inlineStr">
        <is>
          <t>Получить сравнение вариантов</t>
        </is>
      </c>
      <c r="G13" s="7" t="inlineStr">
        <is>
          <t>Возможности</t>
        </is>
      </c>
      <c r="H13" s="7" t="inlineStr">
        <is>
          <t>В планах</t>
        </is>
      </c>
    </row>
    <row r="14">
      <c r="A14" s="7" t="inlineStr">
        <is>
          <t>Декабрь</t>
        </is>
      </c>
      <c r="B14" s="7" t="inlineStr">
        <is>
          <t>Каркас + сэндвич-панели</t>
        </is>
      </c>
      <c r="C14" s="7" t="inlineStr">
        <is>
          <t>Комплект решения</t>
        </is>
      </c>
      <c r="D14" s="7" t="inlineStr">
        <is>
          <t>Промышленность/логистика</t>
        </is>
      </c>
      <c r="E14" s="7" t="inlineStr">
        <is>
          <t>Коммерческий блок</t>
        </is>
      </c>
      <c r="F14" s="7" t="inlineStr">
        <is>
          <t>Запросить тёплый контур</t>
        </is>
      </c>
      <c r="G14" s="7" t="inlineStr">
        <is>
          <t>Средний тоннаж</t>
        </is>
      </c>
      <c r="H14" s="7" t="inlineStr">
        <is>
          <t>В планах</t>
        </is>
      </c>
    </row>
    <row r="15">
      <c r="A15" s="7" t="inlineStr">
        <is>
          <t>Декабрь</t>
        </is>
      </c>
      <c r="B15" s="7" t="inlineStr">
        <is>
          <t>Сейсмостойкость ЛСТК</t>
        </is>
      </c>
      <c r="C15" s="7" t="inlineStr">
        <is>
          <t>Технический материал</t>
        </is>
      </c>
      <c r="D15" s="7" t="inlineStr">
        <is>
          <t>Юг Казахстана</t>
        </is>
      </c>
      <c r="E15" s="7" t="inlineStr">
        <is>
          <t>Технический блок</t>
        </is>
      </c>
      <c r="F15" s="7" t="inlineStr">
        <is>
          <t>Техническая встреча</t>
        </is>
      </c>
      <c r="G15" s="7" t="inlineStr">
        <is>
          <t>Проектные контакты</t>
        </is>
      </c>
      <c r="H15" s="7" t="inlineStr">
        <is>
          <t>В планах</t>
        </is>
      </c>
    </row>
    <row r="16">
      <c r="A16" s="7" t="inlineStr">
        <is>
          <t>Декабрь</t>
        </is>
      </c>
      <c r="B16" s="7" t="inlineStr">
        <is>
          <t>Итоги года: производство, люди, объекты</t>
        </is>
      </c>
      <c r="C16" s="7" t="inlineStr">
        <is>
          <t>Документальный ролик</t>
        </is>
      </c>
      <c r="D16" s="7" t="inlineStr">
        <is>
          <t>Все сегменты</t>
        </is>
      </c>
      <c r="E16" s="7" t="inlineStr">
        <is>
          <t>Мобилограф + КД</t>
        </is>
      </c>
      <c r="F16" s="7" t="inlineStr">
        <is>
          <t>Запланировать объект 2027</t>
        </is>
      </c>
      <c r="G16" s="7" t="inlineStr">
        <is>
          <t>Воронка I кв. 2027</t>
        </is>
      </c>
      <c r="H16" s="7" t="inlineStr">
        <is>
          <t>В планах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8" customWidth="1" min="3" max="3"/>
    <col width="36" customWidth="1" min="4" max="4"/>
  </cols>
  <sheetData>
    <row r="1" ht="28" customHeight="1">
      <c r="A1" s="1" t="inlineStr">
        <is>
          <t>Допущения, исключения и вопросы для утверждения</t>
        </is>
      </c>
    </row>
    <row r="4">
      <c r="A4" s="2" t="inlineStr">
        <is>
          <t>Параметр</t>
        </is>
      </c>
      <c r="B4" s="2" t="inlineStr">
        <is>
          <t>Принято в модели</t>
        </is>
      </c>
      <c r="C4" s="2" t="inlineStr">
        <is>
          <t>Что требуется уточнить</t>
        </is>
      </c>
      <c r="D4" s="2" t="inlineStr">
        <is>
          <t>Влияние</t>
        </is>
      </c>
    </row>
    <row r="5">
      <c r="A5" s="7" t="inlineStr">
        <is>
          <t>Период</t>
        </is>
      </c>
      <c r="B5" s="7" t="inlineStr">
        <is>
          <t>Сентябрь–декабрь 2026</t>
        </is>
      </c>
      <c r="C5" s="7" t="inlineStr">
        <is>
          <t>—</t>
        </is>
      </c>
      <c r="D5" s="7" t="inlineStr">
        <is>
          <t>План на четыре месяца</t>
        </is>
      </c>
    </row>
    <row r="6">
      <c r="A6" s="7" t="inlineStr">
        <is>
          <t>Операционный бюджет</t>
        </is>
      </c>
      <c r="B6" s="7" t="inlineStr">
        <is>
          <t>3 000 000 ₸</t>
        </is>
      </c>
      <c r="C6" s="7" t="inlineStr">
        <is>
          <t>Утверждение Генерального директора</t>
        </is>
      </c>
      <c r="D6" s="7" t="inlineStr">
        <is>
          <t>Предел расходов</t>
        </is>
      </c>
    </row>
    <row r="7">
      <c r="A7" s="7" t="inlineStr">
        <is>
          <t>Инфраструктура</t>
        </is>
      </c>
      <c r="B7" s="7" t="inlineStr">
        <is>
          <t>Хостинг 7 100 ₸/мес.; домены по датам исходника</t>
        </is>
      </c>
      <c r="C7" s="7" t="inlineStr">
        <is>
          <t>Подтвердить факт уже произведённых оплат</t>
        </is>
      </c>
      <c r="D7" s="7" t="inlineStr">
        <is>
          <t>Может снизить остаток</t>
        </is>
      </c>
    </row>
    <row r="8">
      <c r="A8" s="7" t="inlineStr">
        <is>
          <t>Телефон мобилографа</t>
        </is>
      </c>
      <c r="B8" s="7" t="inlineStr">
        <is>
          <t>До 180 000 ₸</t>
        </is>
      </c>
      <c r="C8" s="7" t="inlineStr">
        <is>
          <t>Техническое задание и модель</t>
        </is>
      </c>
      <c r="D8" s="7" t="inlineStr">
        <is>
          <t>Разовый капвклад</t>
        </is>
      </c>
    </row>
    <row r="9">
      <c r="A9" s="7" t="inlineStr">
        <is>
          <t>Фонд оплаты труда</t>
        </is>
      </c>
      <c r="B9" s="7" t="inlineStr">
        <is>
          <t>Не включён</t>
        </is>
      </c>
      <c r="C9" s="7" t="inlineStr">
        <is>
          <t>Зарплаты и налоги действующего/нового штата</t>
        </is>
      </c>
      <c r="D9" s="7" t="inlineStr">
        <is>
          <t>Добавляется сверх модели</t>
        </is>
      </c>
    </row>
    <row r="10">
      <c r="A10" s="7" t="inlineStr">
        <is>
          <t>НДС и комиссии</t>
        </is>
      </c>
      <c r="B10" s="7" t="inlineStr">
        <is>
          <t>Не включены</t>
        </is>
      </c>
      <c r="C10" s="7" t="inlineStr">
        <is>
          <t>Условия подрядчиков и рекламных кабинетов</t>
        </is>
      </c>
      <c r="D10" s="7" t="inlineStr">
        <is>
          <t>Добавляются отдельной строкой</t>
        </is>
      </c>
    </row>
    <row r="11">
      <c r="A11" s="7" t="inlineStr">
        <is>
          <t>SEO-ссылки</t>
        </is>
      </c>
      <c r="B11" s="7" t="inlineStr">
        <is>
          <t>37 тыс. ₸ пилот; затем 74–100 тыс. ₸</t>
        </is>
      </c>
      <c r="C11" s="7" t="inlineStr">
        <is>
          <t>74 тыс. ₸ относится к одному или двум сайтам</t>
        </is>
      </c>
      <c r="D11" s="7" t="inlineStr">
        <is>
          <t>Может изменить SEO-бюджет</t>
        </is>
      </c>
    </row>
    <row r="12">
      <c r="A12" s="7" t="inlineStr">
        <is>
          <t>Курс USD/KZT</t>
        </is>
      </c>
      <c r="B12" s="7" t="inlineStr">
        <is>
          <t>В новой модели лимиты фиксируются в тенге</t>
        </is>
      </c>
      <c r="C12" s="7" t="inlineStr">
        <is>
          <t>Курс оплаты зарубежных сервисов</t>
        </is>
      </c>
      <c r="D12" s="7" t="inlineStr">
        <is>
          <t>Поглощается резервом до его предела</t>
        </is>
      </c>
    </row>
    <row r="13">
      <c r="A13" s="7" t="inlineStr">
        <is>
          <t>Лиды исходника</t>
        </is>
      </c>
      <c r="B13" s="7" t="inlineStr">
        <is>
          <t>Не используются как гарантированный прогноз</t>
        </is>
      </c>
      <c r="C13" s="7" t="inlineStr">
        <is>
          <t>Фактические данные Битрикс24 за 2 месяца</t>
        </is>
      </c>
      <c r="D13" s="7" t="inlineStr">
        <is>
          <t>Заменят целевые KPI</t>
        </is>
      </c>
    </row>
    <row r="14">
      <c r="A14" s="7" t="inlineStr">
        <is>
          <t>Производственная мощность</t>
        </is>
      </c>
      <c r="B14" s="7" t="inlineStr">
        <is>
          <t>500 т/мес. — целевое состояние</t>
        </is>
      </c>
      <c r="C14" s="7" t="inlineStr">
        <is>
          <t>Фактическая мощность, слоты, персонал</t>
        </is>
      </c>
      <c r="D14" s="7" t="inlineStr">
        <is>
          <t>Ограничивает масштабирование рекламы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2026-09-01T19:50:54Z</dcterms:created>
  <dcterms:modified xmlns:dcterms="http://purl.org/dc/terms/" xmlns:xsi="http://www.w3.org/2001/XMLSchema-instance" xsi:type="dcterms:W3CDTF">2026-09-01T19:50:54Z</dcterms:modified>
</cp:coreProperties>
</file>